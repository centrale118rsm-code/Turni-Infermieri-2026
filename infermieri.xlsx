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3AB997F-086E-48B2-BA14-5CBA1F554D1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6" i="1"/>
  <c r="D146" i="1"/>
  <c r="G145" i="1"/>
  <c r="F145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<sst xmlns="http://schemas.openxmlformats.org/spreadsheetml/2006/main" count="742" uniqueCount="73">
  <si>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</si>
  <si>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</si>
  <si>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</si>
  <si>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</si>
  <si>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</si>
  <si>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</si>
  <si>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</si>
  <si>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</si>
  <si>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</si>
  <si>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</si>
  <si>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</si>
  <si>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</si>
  <si>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</si>
  <si>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</si>
  <si>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</si>
  <si>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</si>
  <si>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</si>
  <si>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</si>
  <si>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</si>
  <si>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</si>
  <si>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</si>
  <si>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</si>
  <si>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</si>
  <si>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</si>
  <si>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</si>
  <si>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</si>
  <si>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</si>
  <si>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</si>
  <si>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</si>
  <si>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</si>
  <si>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</si>
  <si>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</si>
  <si>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</si>
  <si>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</si>
  <si>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</si>
  <si>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</si>
  <si>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///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</si>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</sst>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zoomScaleNormal="100" workbookViewId="0">
      <pane xSplit="1" ySplit="2" topLeftCell="LM31" activePane="bottomRight" state="frozen"/>
      <selection pane="topRight" activeCell="LM1" sqref="LM1"/>
      <selection pane="bottomLeft" activeCell="A31" sqref="A31"/>
      <selection pane="bottomRight" activeCell="A66" sqref="A66:A67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</v>
      </c>
      <c r="FF21" s="17" t="str">
        <f>[1]CARTELLINO!FF$21</f>
        <v>N</v>
      </c>
      <c r="FG21" s="17" t="str">
        <f>[1]CARTELLINO!FG$21</f>
        <v>S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P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r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R</v>
      </c>
      <c r="GV33" s="17" t="str">
        <f>[1]CARTELLINO!GV$33</f>
        <v>-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R</v>
      </c>
      <c r="HA33" s="17" t="str">
        <f>[1]CARTELLINO!HA$33</f>
        <v>-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R</v>
      </c>
      <c r="HF33" s="17" t="str">
        <f>[1]CARTELLINO!HF$33</f>
        <v>-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r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P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p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N</v>
      </c>
      <c r="FF60" s="17" t="str">
        <f>[1]CARTELLINO!FF$60</f>
        <v>S</v>
      </c>
      <c r="FG60" s="17" t="str">
        <f>[1]CARTELLINO!FG$60</f>
        <v>R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r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36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37</v>
      </c>
      <c r="B72" s="65" t="s">
        <v>38</v>
      </c>
      <c r="C72" s="65"/>
      <c r="D72" s="65"/>
      <c r="E72" s="65"/>
      <c r="F72" s="65"/>
      <c r="G72" s="65"/>
      <c r="H72" s="1" t="s">
        <v>39</v>
      </c>
    </row>
    <row r="73" spans="1:404" x14ac:dyDescent="0.25">
      <c r="A73" s="29" t="s">
        <v>40</v>
      </c>
      <c r="B73" s="30" t="s">
        <v>41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42</v>
      </c>
      <c r="B74" s="1">
        <v>1</v>
      </c>
      <c r="C74" s="30" t="s">
        <v>43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44</v>
      </c>
    </row>
    <row r="75" spans="1:404" x14ac:dyDescent="0.25">
      <c r="A75" s="32" t="s">
        <v>45</v>
      </c>
      <c r="B75" s="1">
        <v>2</v>
      </c>
      <c r="C75" s="30" t="s">
        <v>46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47</v>
      </c>
      <c r="B76" s="1">
        <v>3</v>
      </c>
      <c r="C76" s="30" t="s">
        <v>48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49</v>
      </c>
      <c r="B77" s="1">
        <v>4</v>
      </c>
      <c r="C77" s="30" t="s">
        <v>50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51</v>
      </c>
      <c r="B78" s="1">
        <v>5</v>
      </c>
      <c r="C78" s="30" t="s">
        <v>52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53</v>
      </c>
      <c r="B79" s="1">
        <v>6</v>
      </c>
      <c r="C79" s="30" t="s">
        <v>54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55</v>
      </c>
      <c r="B80" s="1">
        <v>7</v>
      </c>
      <c r="C80" s="30" t="s">
        <v>56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57</v>
      </c>
      <c r="B81" s="1">
        <v>8</v>
      </c>
      <c r="C81" s="30" t="s">
        <v>43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58</v>
      </c>
      <c r="B82" s="1">
        <v>9</v>
      </c>
      <c r="C82" s="30" t="s">
        <v>46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59</v>
      </c>
      <c r="B83" s="1">
        <v>10</v>
      </c>
      <c r="C83" s="30" t="s">
        <v>48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60</v>
      </c>
      <c r="B84" s="1">
        <v>11</v>
      </c>
      <c r="C84" s="30" t="s">
        <v>50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61</v>
      </c>
      <c r="B85" s="1">
        <v>12</v>
      </c>
      <c r="C85" s="30" t="s">
        <v>52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54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56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43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46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48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50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52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54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56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43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46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48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50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52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54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56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43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46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48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62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50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52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54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56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43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46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48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50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52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54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56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43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46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48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50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52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54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56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43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46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48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50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52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54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56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43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46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48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63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50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52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54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56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43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46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48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50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52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54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56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43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46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48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50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52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54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56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43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46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48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50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52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54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56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43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46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48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50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52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54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64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56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43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46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48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50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52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54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56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43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46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48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50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52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54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56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43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46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48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50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52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54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56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43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46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48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50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52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54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56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43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65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46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48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50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52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54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56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43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46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48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50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52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54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56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43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46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48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50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52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54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56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43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46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48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50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52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54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56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43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46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48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50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66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52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54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56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43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46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48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50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52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54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56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43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46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48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50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52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54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56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43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46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48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50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52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54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56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43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46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48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50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52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54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67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56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43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46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48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50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52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54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56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43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46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48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50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52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54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56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43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46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48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50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52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54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56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43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46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48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50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52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54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56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43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46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68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48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50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52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54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56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43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46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48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50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52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54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56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43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46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48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50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52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54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56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43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46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48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50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52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54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56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43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46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48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50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52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69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54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56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43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46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48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50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52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54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56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43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46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48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50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52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54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56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43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46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48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50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52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54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56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43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46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48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50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52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54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56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70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43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46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48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50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52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54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56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43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46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48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50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52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54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56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43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46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48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50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52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54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56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43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46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48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50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52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54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56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43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46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48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71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50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52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54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56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43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46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48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50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52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54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56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43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46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48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50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52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54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56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43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46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48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50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52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54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56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43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46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48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50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52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72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54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56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43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46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48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50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52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54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56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43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46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48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50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52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54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56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43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46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48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50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52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54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56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43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46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48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50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52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54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56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43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2026-06-05T17:33:54Z</dcterms:modified>
  <dc:language>it-IT</dc:language>
</cp:coreProperties>
</file>