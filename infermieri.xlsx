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C3E3F924-D5E6-4DB3-9907-2F03075EB1A9}" xr6:coauthVersionLast="47" xr6:coauthVersionMax="47" xr10:uidLastSave="{00000000-0000-0000-0000-000000000000}"/>
  <bookViews>
    <workbookView xWindow="0" yWindow="795" windowWidth="28800" windowHeight="15405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<sst xmlns="http://schemas.openxmlformats.org/spreadsheetml/2006/main" count="743" uniqueCount="74">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</sst>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  <sheetName val="Istruzioni assegnazione turni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P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r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H72" sqref="H72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90">
        <v>2026</v>
      </c>
      <c r="B1" s="92" t="s">
        <v>20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4"/>
      <c r="AG1" s="95" t="s">
        <v>21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7"/>
      <c r="BI1" s="104" t="s">
        <v>22</v>
      </c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6"/>
      <c r="CN1" s="98" t="s">
        <v>23</v>
      </c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100"/>
      <c r="DR1" s="101" t="s">
        <v>24</v>
      </c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3"/>
      <c r="EW1" s="62" t="s">
        <v>25</v>
      </c>
      <c r="EX1" s="63"/>
      <c r="EY1" s="63"/>
      <c r="EZ1" s="63"/>
      <c r="FA1" s="63"/>
      <c r="FB1" s="63"/>
      <c r="FC1" s="63"/>
      <c r="FD1" s="63"/>
      <c r="FE1" s="63"/>
      <c r="FF1" s="63"/>
      <c r="FG1" s="63"/>
      <c r="FH1" s="63"/>
      <c r="FI1" s="63"/>
      <c r="FJ1" s="63"/>
      <c r="FK1" s="63"/>
      <c r="FL1" s="63"/>
      <c r="FM1" s="63"/>
      <c r="FN1" s="63"/>
      <c r="FO1" s="63"/>
      <c r="FP1" s="63"/>
      <c r="FQ1" s="63"/>
      <c r="FR1" s="63"/>
      <c r="FS1" s="63"/>
      <c r="FT1" s="63"/>
      <c r="FU1" s="63"/>
      <c r="FV1" s="63"/>
      <c r="FW1" s="63"/>
      <c r="FX1" s="63"/>
      <c r="FY1" s="63"/>
      <c r="FZ1" s="64"/>
      <c r="GA1" s="78" t="s">
        <v>26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27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28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29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72" t="s">
        <v>30</v>
      </c>
      <c r="KU1" s="73"/>
      <c r="KV1" s="73"/>
      <c r="KW1" s="73"/>
      <c r="KX1" s="73"/>
      <c r="KY1" s="73"/>
      <c r="KZ1" s="73"/>
      <c r="LA1" s="73"/>
      <c r="LB1" s="73"/>
      <c r="LC1" s="73"/>
      <c r="LD1" s="73"/>
      <c r="LE1" s="73"/>
      <c r="LF1" s="73"/>
      <c r="LG1" s="73"/>
      <c r="LH1" s="73"/>
      <c r="LI1" s="73"/>
      <c r="LJ1" s="73"/>
      <c r="LK1" s="73"/>
      <c r="LL1" s="73"/>
      <c r="LM1" s="73"/>
      <c r="LN1" s="73"/>
      <c r="LO1" s="73"/>
      <c r="LP1" s="73"/>
      <c r="LQ1" s="73"/>
      <c r="LR1" s="73"/>
      <c r="LS1" s="73"/>
      <c r="LT1" s="73"/>
      <c r="LU1" s="73"/>
      <c r="LV1" s="73"/>
      <c r="LW1" s="74"/>
      <c r="LX1" s="75" t="s">
        <v>31</v>
      </c>
      <c r="LY1" s="76"/>
      <c r="LZ1" s="76"/>
      <c r="MA1" s="76"/>
      <c r="MB1" s="76"/>
      <c r="MC1" s="76"/>
      <c r="MD1" s="76"/>
      <c r="ME1" s="76"/>
      <c r="MF1" s="76"/>
      <c r="MG1" s="76"/>
      <c r="MH1" s="76"/>
      <c r="MI1" s="76"/>
      <c r="MJ1" s="76"/>
      <c r="MK1" s="76"/>
      <c r="ML1" s="76"/>
      <c r="MM1" s="76"/>
      <c r="MN1" s="76"/>
      <c r="MO1" s="76"/>
      <c r="MP1" s="76"/>
      <c r="MQ1" s="76"/>
      <c r="MR1" s="76"/>
      <c r="MS1" s="76"/>
      <c r="MT1" s="76"/>
      <c r="MU1" s="76"/>
      <c r="MV1" s="76"/>
      <c r="MW1" s="76"/>
      <c r="MX1" s="76"/>
      <c r="MY1" s="76"/>
      <c r="MZ1" s="76"/>
      <c r="NA1" s="76"/>
      <c r="NB1" s="77"/>
      <c r="NC1" s="65" t="s">
        <v>32</v>
      </c>
      <c r="ND1" s="66"/>
      <c r="NE1" s="66"/>
      <c r="NF1" s="66"/>
      <c r="NG1" s="66"/>
      <c r="NH1" s="66"/>
      <c r="NI1" s="66"/>
      <c r="NJ1" s="66"/>
      <c r="NK1" s="66"/>
      <c r="NL1" s="66"/>
      <c r="NM1" s="66"/>
      <c r="NN1" s="66"/>
      <c r="NO1" s="66"/>
      <c r="NP1" s="66"/>
      <c r="NQ1" s="66"/>
      <c r="NR1" s="66"/>
      <c r="NS1" s="66"/>
      <c r="NT1" s="66"/>
      <c r="NU1" s="66"/>
      <c r="NV1" s="66"/>
      <c r="NW1" s="66"/>
      <c r="NX1" s="66"/>
      <c r="NY1" s="66"/>
      <c r="NZ1" s="66"/>
      <c r="OA1" s="66"/>
      <c r="OB1" s="66"/>
      <c r="OC1" s="66"/>
      <c r="OD1" s="66"/>
      <c r="OE1" s="66"/>
      <c r="OF1" s="66"/>
      <c r="OG1" s="67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91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8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9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70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71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70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M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m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M</v>
      </c>
      <c r="IA9" s="38" t="str">
        <f>[1]CARTELLINO!IA$9</f>
        <v>N</v>
      </c>
      <c r="IB9" s="38" t="str">
        <f>[1]CARTELLINO!IB$9</f>
        <v>S</v>
      </c>
      <c r="IC9" s="38" t="str">
        <f>[1]CARTELLINO!IC$9</f>
        <v>R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71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50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r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m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p</v>
      </c>
      <c r="GZ12" s="38" t="str">
        <f>[1]CARTELLINO!GZ$12</f>
        <v>m</v>
      </c>
      <c r="HA12" s="38" t="str">
        <f>[1]CARTELLINO!HA$12</f>
        <v>N</v>
      </c>
      <c r="HB12" s="38" t="str">
        <f>[1]CARTELLINO!HB$12</f>
        <v>S</v>
      </c>
      <c r="HC12" s="38" t="str">
        <f>[1]CARTELLINO!HC$12</f>
        <v>R</v>
      </c>
      <c r="HD12" s="38" t="str">
        <f>[1]CARTELLINO!HD$12</f>
        <v>P</v>
      </c>
      <c r="HE12" s="38" t="str">
        <f>[1]CARTELLINO!HE$12</f>
        <v>M/R</v>
      </c>
      <c r="HF12" s="38" t="str">
        <f>[1]CARTELLINO!HF$12</f>
        <v>N</v>
      </c>
      <c r="HG12" s="38" t="str">
        <f>[1]CARTELLINO!HG$12</f>
        <v>S</v>
      </c>
      <c r="HH12" s="38" t="str">
        <f>[1]CARTELLINO!HH$12</f>
        <v>R</v>
      </c>
      <c r="HI12" s="38" t="str">
        <f>[1]CARTELLINO!HI$12</f>
        <v>P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51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50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M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51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50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M+N</v>
      </c>
      <c r="FW18" s="38" t="str">
        <f>[1]CARTELLINO!FW$18</f>
        <v>S</v>
      </c>
      <c r="FX18" s="38" t="str">
        <f>[1]CARTELLINO!FX$18</f>
        <v>R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51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52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p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53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52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M</v>
      </c>
      <c r="FG24" s="38" t="str">
        <f>[1]CARTELLINO!FG$24</f>
        <v>M+N</v>
      </c>
      <c r="FH24" s="38" t="str">
        <f>[1]CARTELLINO!FH$24</f>
        <v>S</v>
      </c>
      <c r="FI24" s="38" t="str">
        <f>[1]CARTELLINO!FI$24</f>
        <v>R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53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52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P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M/R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53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4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R</v>
      </c>
      <c r="FW30" s="38" t="str">
        <f>[1]CARTELLINO!FW$30</f>
        <v>N</v>
      </c>
      <c r="FX30" s="38" t="str">
        <f>[1]CARTELLINO!FX$30</f>
        <v>S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5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4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P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5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4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-</v>
      </c>
      <c r="EL36" s="38" t="str">
        <f>[1]CARTELLINO!EL$36</f>
        <v>-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N</v>
      </c>
      <c r="HW36" s="38" t="str">
        <f>[1]CARTELLINO!HW$36</f>
        <v>S</v>
      </c>
      <c r="HX36" s="38" t="str">
        <f>[1]CARTELLINO!HX$36</f>
        <v>R</v>
      </c>
      <c r="HY36" s="38" t="str">
        <f>[1]CARTELLINO!HY$36</f>
        <v>P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r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5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 t="str">
        <f>[1]CARTELLINO!EK$37</f>
        <v>m</v>
      </c>
      <c r="EL37" s="39" t="str">
        <f>[1]CARTELLINO!EL$37</f>
        <v>m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p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60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R</v>
      </c>
      <c r="FH39" s="38" t="str">
        <f>[1]CARTELLINO!FH$39</f>
        <v>N</v>
      </c>
      <c r="FI39" s="38" t="str">
        <f>[1]CARTELLINO!FI$39</f>
        <v>S</v>
      </c>
      <c r="FJ39" s="38" t="str">
        <f>[1]CARTELLINO!FJ$39</f>
        <v>P</v>
      </c>
      <c r="FK39" s="38" t="str">
        <f>[1]CARTELLINO!FK$39</f>
        <v>M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M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61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60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P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r</v>
      </c>
      <c r="HW42" s="38" t="str">
        <f>[1]CARTELLINO!HW$42</f>
        <v>p</v>
      </c>
      <c r="HX42" s="38" t="str">
        <f>[1]CARTELLINO!HX$42</f>
        <v>p</v>
      </c>
      <c r="HY42" s="38" t="str">
        <f>[1]CARTELLINO!HY$42</f>
        <v>m</v>
      </c>
      <c r="HZ42" s="38" t="str">
        <f>[1]CARTELLINO!HZ$42</f>
        <v>N</v>
      </c>
      <c r="IA42" s="38" t="str">
        <f>[1]CARTELLINO!IA$42</f>
        <v>S</v>
      </c>
      <c r="IB42" s="38" t="str">
        <f>[1]CARTELLINO!IB$42</f>
        <v>R</v>
      </c>
      <c r="IC42" s="38" t="str">
        <f>[1]CARTELLINO!IC$42</f>
        <v>m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61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60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p</v>
      </c>
      <c r="GK45" s="38" t="str">
        <f>[1]CARTELLINO!GK$45</f>
        <v>-</v>
      </c>
      <c r="GL45" s="38" t="str">
        <f>[1]CARTELLINO!GL$45</f>
        <v>m</v>
      </c>
      <c r="GM45" s="38" t="str">
        <f>[1]CARTELLINO!GM$45</f>
        <v>r</v>
      </c>
      <c r="GN45" s="38" t="str">
        <f>[1]CARTELLINO!GN$45</f>
        <v>r</v>
      </c>
      <c r="GO45" s="38" t="str">
        <f>[1]CARTELLINO!GO$45</f>
        <v>m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M/R</v>
      </c>
      <c r="GZ45" s="38" t="str">
        <f>[1]CARTELLINO!GZ$45</f>
        <v>N</v>
      </c>
      <c r="HA45" s="38" t="str">
        <f>[1]CARTELLINO!HA$45</f>
        <v>S</v>
      </c>
      <c r="HB45" s="38" t="str">
        <f>[1]CARTELLINO!HB$45</f>
        <v>R</v>
      </c>
      <c r="HC45" s="38" t="str">
        <f>[1]CARTELLINO!HC$45</f>
        <v>P</v>
      </c>
      <c r="HD45" s="38" t="str">
        <f>[1]CARTELLINO!HD$45</f>
        <v>M</v>
      </c>
      <c r="HE45" s="38" t="str">
        <f>[1]CARTELLINO!HE$45</f>
        <v>N</v>
      </c>
      <c r="HF45" s="38" t="str">
        <f>[1]CARTELLINO!HF$45</f>
        <v>S</v>
      </c>
      <c r="HG45" s="38" t="str">
        <f>[1]CARTELLINO!HG$45</f>
        <v>R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61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 t="str">
        <f>[1]CARTELLINO!GK$46</f>
        <v>r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6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m/R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P</v>
      </c>
      <c r="FX48" s="38" t="str">
        <f>[1]CARTELLINO!FX$48</f>
        <v>P</v>
      </c>
      <c r="FY48" s="38" t="str">
        <f>[1]CARTELLINO!FY$48</f>
        <v>m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M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7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6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7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6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P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7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6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M+N</v>
      </c>
      <c r="EL57" s="38" t="str">
        <f>[1]CARTELLINO!EL$57</f>
        <v>S</v>
      </c>
      <c r="EM57" s="38" t="str">
        <f>[1]CARTELLINO!EM$57</f>
        <v>R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m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7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 t="str">
        <f>[1]CARTELLINO!JQ$58</f>
        <v>f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6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m</v>
      </c>
      <c r="EM60" s="38" t="str">
        <f>[1]CARTELLINO!EM$60</f>
        <v>m</v>
      </c>
      <c r="EN60" s="38" t="str">
        <f>[1]CARTELLINO!EN$60</f>
        <v>m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7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r</v>
      </c>
      <c r="ES61" s="39" t="str">
        <f>[1]CARTELLINO!ES$61</f>
        <v>r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f</v>
      </c>
      <c r="EY61" s="39" t="str">
        <f>[1]CARTELLINO!EY$61</f>
        <v>f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8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P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p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59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6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r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M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r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m</v>
      </c>
      <c r="GO66" s="38" t="str">
        <f>[1]CARTELLINO!GO$66</f>
        <v>r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r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7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8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m/R</v>
      </c>
      <c r="EK69" s="38" t="str">
        <f>[1]CARTELLINO!EK$69</f>
        <v>p</v>
      </c>
      <c r="EL69" s="38" t="str">
        <f>[1]CARTELLINO!EL$69</f>
        <v>M+N</v>
      </c>
      <c r="EM69" s="38" t="str">
        <f>[1]CARTELLINO!EM$69</f>
        <v>S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r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59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47" t="s">
        <v>47</v>
      </c>
      <c r="C72" s="48"/>
      <c r="D72" s="48"/>
      <c r="E72" s="48"/>
      <c r="F72" s="48"/>
      <c r="G72" s="49"/>
      <c r="H72" s="16" t="s">
        <v>73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GOZI</v>
      </c>
      <c r="G220" s="37" t="str">
        <f>[1]REPERIBILITA!F148</f>
        <v>GATTI</v>
      </c>
    </row>
    <row r="221" spans="2:7" x14ac:dyDescent="0.25">
      <c r="B221" s="16">
        <v>20</v>
      </c>
      <c r="C221" s="37" t="s">
        <v>55</v>
      </c>
      <c r="D221" s="37" t="str">
        <f>[1]REPERIBILITA!C149</f>
        <v>GOZI</v>
      </c>
      <c r="E221" s="37" t="str">
        <f>[1]REPERIBILITA!D149</f>
        <v>GOZI</v>
      </c>
      <c r="F221" s="37" t="str">
        <f>[1]REPERIBILITA!E149</f>
        <v>TINI</v>
      </c>
      <c r="G221" s="37" t="str">
        <f>[1]REPERIBILITA!F149</f>
        <v>MOSCONI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CAPICCHIONI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TICCHI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GATTI</v>
      </c>
      <c r="G227" s="37" t="str">
        <f>[1]REPERIBILITA!F155</f>
        <v>GATTI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CASTELLANI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>
        <f>[1]REPERIBILITA!F165</f>
        <v>0</v>
      </c>
    </row>
    <row r="238" spans="2:7" x14ac:dyDescent="0.25">
      <c r="B238" s="16">
        <v>4</v>
      </c>
      <c r="C238" s="37" t="s">
        <v>49</v>
      </c>
      <c r="D238" s="37">
        <f>[1]REPERIBILITA!C166</f>
        <v>0</v>
      </c>
      <c r="E238" s="37">
        <f>[1]REPERIBILITA!D166</f>
        <v>0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MORGANTI</v>
      </c>
      <c r="G258" s="37" t="str">
        <f>[1]REPERIBILITA!F186</f>
        <v>MORGANTI</v>
      </c>
    </row>
    <row r="259" spans="2:7" x14ac:dyDescent="0.25">
      <c r="B259" s="16">
        <v>25</v>
      </c>
      <c r="C259" s="16" t="s">
        <v>49</v>
      </c>
      <c r="D259" s="37" t="str">
        <f>[1]REPERIBILITA!C187</f>
        <v>MORGANTI</v>
      </c>
      <c r="E259" s="37" t="str">
        <f>[1]REPERIBILITA!D187</f>
        <v>MORGANTI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TINI</v>
      </c>
      <c r="G291" s="37" t="str">
        <f>[1]REPERIBILITA!F219</f>
        <v>TINI</v>
      </c>
    </row>
    <row r="292" spans="2:7" x14ac:dyDescent="0.25">
      <c r="B292" s="16">
        <v>26</v>
      </c>
      <c r="C292" s="16" t="s">
        <v>52</v>
      </c>
      <c r="D292" s="37" t="str">
        <f>[1]REPERIBILITA!C220</f>
        <v>TINI</v>
      </c>
      <c r="E292" s="37" t="str">
        <f>[1]REPERIBILITA!D220</f>
        <v>TINI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BEDETTI</v>
      </c>
      <c r="G297" s="37" t="str">
        <f>[1]REPERIBILITA!F225</f>
        <v>BEDETTI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BEDETTI</v>
      </c>
      <c r="E300" s="37" t="str">
        <f>[1]REPERIBILITA!D228</f>
        <v>BEDETTI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2026-06-05T13:46:46Z</dcterms:modified>
</cp:coreProperties>
</file>