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020F1D8D-0820-4C23-9B2D-502BE5D4ECC7}" xr6:coauthVersionLast="47" xr6:coauthVersionMax="47" xr10:uidLastSave="{00000000-0000-0000-0000-000000000000}"/>
  <bookViews>
    <workbookView xWindow="3135" yWindow="570" windowWidth="25665" windowHeight="1491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<sst xmlns="http://schemas.openxmlformats.org/spreadsheetml/2006/main" count="743" uniqueCount="72">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</sst>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TIBURZI</v>
          </cell>
          <cell r="F113" t="str">
            <v>TIBURZI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LEPRI</v>
          </cell>
          <cell r="F130" t="str">
            <v>LEPRI</v>
          </cell>
        </row>
        <row r="131">
          <cell r="C131" t="str">
            <v>LEPRI</v>
          </cell>
          <cell r="D131" t="str">
            <v>LEPRI</v>
          </cell>
          <cell r="E131" t="str">
            <v>TINI</v>
          </cell>
          <cell r="F131" t="str">
            <v>TINI</v>
          </cell>
        </row>
        <row r="132">
          <cell r="C132" t="str">
            <v>TINI</v>
          </cell>
          <cell r="D132" t="str">
            <v>TINI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CASADEI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MORGANTI</v>
          </cell>
          <cell r="F141" t="str">
            <v>MORGANTI</v>
          </cell>
        </row>
        <row r="142">
          <cell r="C142" t="str">
            <v>MORGANTI</v>
          </cell>
          <cell r="D142" t="str">
            <v>MORGANTI</v>
          </cell>
          <cell r="E142" t="str">
            <v>ANGELINI</v>
          </cell>
          <cell r="F142" t="str">
            <v>ANGELINI</v>
          </cell>
        </row>
        <row r="143">
          <cell r="C143" t="str">
            <v>ANGELINI</v>
          </cell>
          <cell r="D143" t="str">
            <v>ANGELINI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MOSCA</v>
          </cell>
          <cell r="F147" t="str">
            <v>MOSCA</v>
          </cell>
        </row>
        <row r="148">
          <cell r="C148" t="str">
            <v>MOSCA</v>
          </cell>
          <cell r="D148" t="str">
            <v>MOSCA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m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</v>
          </cell>
          <cell r="FE6" t="str">
            <v>N</v>
          </cell>
          <cell r="FF6" t="str">
            <v>S</v>
          </cell>
          <cell r="FG6" t="str">
            <v>R</v>
          </cell>
          <cell r="FH6" t="str">
            <v>p</v>
          </cell>
          <cell r="FI6" t="str">
            <v>m</v>
          </cell>
          <cell r="FJ6" t="str">
            <v>r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M/R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P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P</v>
          </cell>
          <cell r="FT12" t="str">
            <v>M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M/R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M/R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m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m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r</v>
          </cell>
          <cell r="FG42" t="str">
            <v>p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M/R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r</v>
          </cell>
          <cell r="HM54" t="str">
            <v>p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p</v>
          </cell>
          <cell r="FL57" t="str">
            <v>m</v>
          </cell>
          <cell r="FM57" t="str">
            <v>m</v>
          </cell>
          <cell r="FN57" t="str">
            <v>r</v>
          </cell>
          <cell r="FO57" t="str">
            <v>r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M/R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p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N</v>
          </cell>
          <cell r="FH63" t="str">
            <v>S</v>
          </cell>
          <cell r="FI63" t="str">
            <v>R</v>
          </cell>
          <cell r="FJ63" t="str">
            <v>m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r</v>
          </cell>
          <cell r="GG63" t="str">
            <v>r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R</v>
          </cell>
          <cell r="EH66" t="str">
            <v>P</v>
          </cell>
          <cell r="EI66" t="str">
            <v>m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p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r</v>
          </cell>
          <cell r="EW66" t="str">
            <v>p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p</v>
          </cell>
          <cell r="FK66" t="str">
            <v>m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r</v>
          </cell>
          <cell r="FP66" t="str">
            <v>p</v>
          </cell>
          <cell r="FQ66" t="str">
            <v>m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r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m</v>
          </cell>
          <cell r="EI69" t="str">
            <v>p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m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r</v>
          </cell>
          <cell r="FF69" t="str">
            <v>p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-</v>
          </cell>
          <cell r="FS69" t="str">
            <v>-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-</v>
          </cell>
          <cell r="FY69" t="str">
            <v>-</v>
          </cell>
          <cell r="FZ69" t="str">
            <v>-</v>
          </cell>
          <cell r="GA69" t="str">
            <v>-</v>
          </cell>
          <cell r="GB69" t="str">
            <v>-</v>
          </cell>
          <cell r="GC69" t="str">
            <v>-</v>
          </cell>
          <cell r="GD69" t="str">
            <v>-</v>
          </cell>
          <cell r="GE69" t="str">
            <v>-</v>
          </cell>
          <cell r="GF69" t="str">
            <v>-</v>
          </cell>
          <cell r="GG69" t="str">
            <v>-</v>
          </cell>
          <cell r="GH69" t="str">
            <v>-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-</v>
          </cell>
          <cell r="GN69" t="str">
            <v>-</v>
          </cell>
          <cell r="GO69" t="str">
            <v>-</v>
          </cell>
          <cell r="GP69" t="str">
            <v>-</v>
          </cell>
          <cell r="GQ69" t="str">
            <v>-</v>
          </cell>
          <cell r="GR69" t="str">
            <v>-</v>
          </cell>
          <cell r="GS69" t="str">
            <v>-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0">
        <v>2026</v>
      </c>
      <c r="B1" s="72" t="s">
        <v>20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4"/>
      <c r="AG1" s="75" t="s">
        <v>21</v>
      </c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7"/>
      <c r="BI1" s="84" t="s">
        <v>22</v>
      </c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6"/>
      <c r="CN1" s="78" t="s">
        <v>23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80"/>
      <c r="DR1" s="81" t="s">
        <v>24</v>
      </c>
      <c r="DS1" s="82"/>
      <c r="DT1" s="82"/>
      <c r="DU1" s="82"/>
      <c r="DV1" s="82"/>
      <c r="DW1" s="82"/>
      <c r="DX1" s="82"/>
      <c r="DY1" s="82"/>
      <c r="DZ1" s="82"/>
      <c r="EA1" s="82"/>
      <c r="EB1" s="82"/>
      <c r="EC1" s="82"/>
      <c r="ED1" s="82"/>
      <c r="EE1" s="82"/>
      <c r="EF1" s="82"/>
      <c r="EG1" s="82"/>
      <c r="EH1" s="82"/>
      <c r="EI1" s="82"/>
      <c r="EJ1" s="82"/>
      <c r="EK1" s="82"/>
      <c r="EL1" s="82"/>
      <c r="EM1" s="82"/>
      <c r="EN1" s="82"/>
      <c r="EO1" s="82"/>
      <c r="EP1" s="82"/>
      <c r="EQ1" s="82"/>
      <c r="ER1" s="82"/>
      <c r="ES1" s="82"/>
      <c r="ET1" s="82"/>
      <c r="EU1" s="82"/>
      <c r="EV1" s="83"/>
      <c r="EW1" s="87" t="s">
        <v>25</v>
      </c>
      <c r="EX1" s="88"/>
      <c r="EY1" s="88"/>
      <c r="EZ1" s="88"/>
      <c r="FA1" s="88"/>
      <c r="FB1" s="88"/>
      <c r="FC1" s="88"/>
      <c r="FD1" s="88"/>
      <c r="FE1" s="88"/>
      <c r="FF1" s="88"/>
      <c r="FG1" s="88"/>
      <c r="FH1" s="88"/>
      <c r="FI1" s="88"/>
      <c r="FJ1" s="88"/>
      <c r="FK1" s="88"/>
      <c r="FL1" s="88"/>
      <c r="FM1" s="88"/>
      <c r="FN1" s="88"/>
      <c r="FO1" s="88"/>
      <c r="FP1" s="88"/>
      <c r="FQ1" s="88"/>
      <c r="FR1" s="88"/>
      <c r="FS1" s="88"/>
      <c r="FT1" s="88"/>
      <c r="FU1" s="88"/>
      <c r="FV1" s="88"/>
      <c r="FW1" s="88"/>
      <c r="FX1" s="88"/>
      <c r="FY1" s="88"/>
      <c r="FZ1" s="89"/>
      <c r="GA1" s="58" t="s">
        <v>26</v>
      </c>
      <c r="GB1" s="59"/>
      <c r="GC1" s="59"/>
      <c r="GD1" s="59"/>
      <c r="GE1" s="59"/>
      <c r="GF1" s="59"/>
      <c r="GG1" s="59"/>
      <c r="GH1" s="59"/>
      <c r="GI1" s="59"/>
      <c r="GJ1" s="59"/>
      <c r="GK1" s="59"/>
      <c r="GL1" s="59"/>
      <c r="GM1" s="59"/>
      <c r="GN1" s="59"/>
      <c r="GO1" s="59"/>
      <c r="GP1" s="59"/>
      <c r="GQ1" s="59"/>
      <c r="GR1" s="59"/>
      <c r="GS1" s="59"/>
      <c r="GT1" s="59"/>
      <c r="GU1" s="59"/>
      <c r="GV1" s="59"/>
      <c r="GW1" s="59"/>
      <c r="GX1" s="59"/>
      <c r="GY1" s="59"/>
      <c r="GZ1" s="59"/>
      <c r="HA1" s="59"/>
      <c r="HB1" s="59"/>
      <c r="HC1" s="59"/>
      <c r="HD1" s="59"/>
      <c r="HE1" s="60"/>
      <c r="HF1" s="61" t="s">
        <v>27</v>
      </c>
      <c r="HG1" s="62"/>
      <c r="HH1" s="62"/>
      <c r="HI1" s="62"/>
      <c r="HJ1" s="62"/>
      <c r="HK1" s="62"/>
      <c r="HL1" s="62"/>
      <c r="HM1" s="62"/>
      <c r="HN1" s="62"/>
      <c r="HO1" s="62"/>
      <c r="HP1" s="62"/>
      <c r="HQ1" s="62"/>
      <c r="HR1" s="62"/>
      <c r="HS1" s="62"/>
      <c r="HT1" s="62"/>
      <c r="HU1" s="62"/>
      <c r="HV1" s="62"/>
      <c r="HW1" s="62"/>
      <c r="HX1" s="62"/>
      <c r="HY1" s="62"/>
      <c r="HZ1" s="62"/>
      <c r="IA1" s="62"/>
      <c r="IB1" s="62"/>
      <c r="IC1" s="62"/>
      <c r="ID1" s="62"/>
      <c r="IE1" s="62"/>
      <c r="IF1" s="62"/>
      <c r="IG1" s="62"/>
      <c r="IH1" s="62"/>
      <c r="II1" s="62"/>
      <c r="IJ1" s="63"/>
      <c r="IK1" s="64" t="s">
        <v>28</v>
      </c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5"/>
      <c r="JD1" s="65"/>
      <c r="JE1" s="65"/>
      <c r="JF1" s="65"/>
      <c r="JG1" s="65"/>
      <c r="JH1" s="65"/>
      <c r="JI1" s="65"/>
      <c r="JJ1" s="65"/>
      <c r="JK1" s="65"/>
      <c r="JL1" s="65"/>
      <c r="JM1" s="65"/>
      <c r="JN1" s="66"/>
      <c r="JO1" s="67" t="s">
        <v>29</v>
      </c>
      <c r="JP1" s="68"/>
      <c r="JQ1" s="68"/>
      <c r="JR1" s="68"/>
      <c r="JS1" s="68"/>
      <c r="JT1" s="68"/>
      <c r="JU1" s="68"/>
      <c r="JV1" s="68"/>
      <c r="JW1" s="68"/>
      <c r="JX1" s="68"/>
      <c r="JY1" s="68"/>
      <c r="JZ1" s="68"/>
      <c r="KA1" s="68"/>
      <c r="KB1" s="68"/>
      <c r="KC1" s="68"/>
      <c r="KD1" s="68"/>
      <c r="KE1" s="68"/>
      <c r="KF1" s="68"/>
      <c r="KG1" s="68"/>
      <c r="KH1" s="68"/>
      <c r="KI1" s="68"/>
      <c r="KJ1" s="68"/>
      <c r="KK1" s="68"/>
      <c r="KL1" s="68"/>
      <c r="KM1" s="68"/>
      <c r="KN1" s="68"/>
      <c r="KO1" s="68"/>
      <c r="KP1" s="68"/>
      <c r="KQ1" s="68"/>
      <c r="KR1" s="68"/>
      <c r="KS1" s="69"/>
      <c r="KT1" s="52" t="s">
        <v>30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4"/>
      <c r="LX1" s="55" t="s">
        <v>31</v>
      </c>
      <c r="LY1" s="56"/>
      <c r="LZ1" s="56"/>
      <c r="MA1" s="56"/>
      <c r="MB1" s="56"/>
      <c r="MC1" s="56"/>
      <c r="MD1" s="56"/>
      <c r="ME1" s="56"/>
      <c r="MF1" s="56"/>
      <c r="MG1" s="56"/>
      <c r="MH1" s="56"/>
      <c r="MI1" s="56"/>
      <c r="MJ1" s="56"/>
      <c r="MK1" s="56"/>
      <c r="ML1" s="56"/>
      <c r="MM1" s="56"/>
      <c r="MN1" s="56"/>
      <c r="MO1" s="56"/>
      <c r="MP1" s="56"/>
      <c r="MQ1" s="56"/>
      <c r="MR1" s="56"/>
      <c r="MS1" s="56"/>
      <c r="MT1" s="56"/>
      <c r="MU1" s="56"/>
      <c r="MV1" s="56"/>
      <c r="MW1" s="56"/>
      <c r="MX1" s="56"/>
      <c r="MY1" s="56"/>
      <c r="MZ1" s="56"/>
      <c r="NA1" s="56"/>
      <c r="NB1" s="57"/>
      <c r="NC1" s="45" t="s">
        <v>32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m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R</v>
      </c>
      <c r="FH6" s="38" t="str">
        <f>[1]CARTELLINO!FH$6</f>
        <v>p</v>
      </c>
      <c r="FI6" s="38" t="str">
        <f>[1]CARTELLINO!FI$6</f>
        <v>m</v>
      </c>
      <c r="FJ6" s="38" t="str">
        <f>[1]CARTELLINO!FJ$6</f>
        <v>r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M/R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P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4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P</v>
      </c>
      <c r="FT12" s="38" t="str">
        <f>[1]CARTELLINO!FT$12</f>
        <v>M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5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4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5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4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m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5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1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2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1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M/R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2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1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M/R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2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6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7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6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7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6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m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7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3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4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3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m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r</v>
      </c>
      <c r="FG42" s="38" t="str">
        <f>[1]CARTELLINO!FG$42</f>
        <v>p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4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3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M/R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4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0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1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0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1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0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1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0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p</v>
      </c>
      <c r="FL57" s="38" t="str">
        <f>[1]CARTELLINO!FL$57</f>
        <v>m</v>
      </c>
      <c r="FM57" s="38" t="str">
        <f>[1]CARTELLINO!FM$57</f>
        <v>m</v>
      </c>
      <c r="FN57" s="38" t="str">
        <f>[1]CARTELLINO!FN$57</f>
        <v>r</v>
      </c>
      <c r="FO57" s="38" t="str">
        <f>[1]CARTELLINO!FO$57</f>
        <v>r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1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0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M/R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1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2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p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P</v>
      </c>
      <c r="FF63" s="38" t="str">
        <f>[1]CARTELLINO!FF$63</f>
        <v>M</v>
      </c>
      <c r="FG63" s="38" t="str">
        <f>[1]CARTELLINO!FG$63</f>
        <v>N</v>
      </c>
      <c r="FH63" s="38" t="str">
        <f>[1]CARTELLINO!FH$63</f>
        <v>S</v>
      </c>
      <c r="FI63" s="38" t="str">
        <f>[1]CARTELLINO!FI$63</f>
        <v>R</v>
      </c>
      <c r="FJ63" s="38" t="str">
        <f>[1]CARTELLINO!FJ$63</f>
        <v>m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r</v>
      </c>
      <c r="GG63" s="38" t="str">
        <f>[1]CARTELLINO!GG$63</f>
        <v>r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3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0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R</v>
      </c>
      <c r="EH66" s="38" t="str">
        <f>[1]CARTELLINO!EH$66</f>
        <v>P</v>
      </c>
      <c r="EI66" s="38" t="str">
        <f>[1]CARTELLINO!EI$66</f>
        <v>m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p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r</v>
      </c>
      <c r="EW66" s="38" t="str">
        <f>[1]CARTELLINO!EW$66</f>
        <v>p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p</v>
      </c>
      <c r="FK66" s="38" t="str">
        <f>[1]CARTELLINO!FK$66</f>
        <v>m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r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1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2" t="s">
        <v>70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r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m</v>
      </c>
      <c r="EI69" s="38" t="str">
        <f>[1]CARTELLINO!EI$69</f>
        <v>p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m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r</v>
      </c>
      <c r="FF69" s="38" t="str">
        <f>[1]CARTELLINO!FF$69</f>
        <v>p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-</v>
      </c>
      <c r="FS69" s="38" t="str">
        <f>[1]CARTELLINO!FS$69</f>
        <v>-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-</v>
      </c>
      <c r="FY69" s="38" t="str">
        <f>[1]CARTELLINO!FY$69</f>
        <v>-</v>
      </c>
      <c r="FZ69" s="38" t="str">
        <f>[1]CARTELLINO!FZ$69</f>
        <v>-</v>
      </c>
      <c r="GA69" s="38" t="str">
        <f>[1]CARTELLINO!GA$69</f>
        <v>-</v>
      </c>
      <c r="GB69" s="38" t="str">
        <f>[1]CARTELLINO!GB$69</f>
        <v>-</v>
      </c>
      <c r="GC69" s="38" t="str">
        <f>[1]CARTELLINO!GC$69</f>
        <v>-</v>
      </c>
      <c r="GD69" s="38" t="str">
        <f>[1]CARTELLINO!GD$69</f>
        <v>-</v>
      </c>
      <c r="GE69" s="38" t="str">
        <f>[1]CARTELLINO!GE$69</f>
        <v>-</v>
      </c>
      <c r="GF69" s="38" t="str">
        <f>[1]CARTELLINO!GF$69</f>
        <v>-</v>
      </c>
      <c r="GG69" s="38" t="str">
        <f>[1]CARTELLINO!GG$69</f>
        <v>-</v>
      </c>
      <c r="GH69" s="38" t="str">
        <f>[1]CARTELLINO!GH$69</f>
        <v>-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-</v>
      </c>
      <c r="GN69" s="38" t="str">
        <f>[1]CARTELLINO!GN$69</f>
        <v>-</v>
      </c>
      <c r="GO69" s="38" t="str">
        <f>[1]CARTELLINO!GO$69</f>
        <v>-</v>
      </c>
      <c r="GP69" s="38" t="str">
        <f>[1]CARTELLINO!GP$69</f>
        <v>-</v>
      </c>
      <c r="GQ69" s="38" t="str">
        <f>[1]CARTELLINO!GQ$69</f>
        <v>-</v>
      </c>
      <c r="GR69" s="38" t="str">
        <f>[1]CARTELLINO!GR$69</f>
        <v>-</v>
      </c>
      <c r="GS69" s="38" t="str">
        <f>[1]CARTELLINO!GS$69</f>
        <v>-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3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>
        <f>[1]CARTELLINO!IS$70</f>
        <v>0</v>
      </c>
      <c r="IT70" s="39">
        <f>[1]CARTELLINO!IT$70</f>
        <v>0</v>
      </c>
      <c r="IU70" s="39">
        <f>[1]CARTELLINO!IU$70</f>
        <v>0</v>
      </c>
      <c r="IV70" s="39">
        <f>[1]CARTELLINO!IV$70</f>
        <v>0</v>
      </c>
      <c r="IW70" s="39">
        <f>[1]CARTELLINO!IW$70</f>
        <v>0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>
        <f>[1]CARTELLINO!KV$70</f>
        <v>0</v>
      </c>
      <c r="KW70" s="39">
        <f>[1]CARTELLINO!KW$70</f>
        <v>0</v>
      </c>
      <c r="KX70" s="39">
        <f>[1]CARTELLINO!KX$70</f>
        <v>0</v>
      </c>
      <c r="KY70" s="39">
        <f>[1]CARTELLINO!KY$70</f>
        <v>0</v>
      </c>
      <c r="KZ70" s="39">
        <f>[1]CARTELLINO!KZ$70</f>
        <v>0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98" t="s">
        <v>47</v>
      </c>
      <c r="C72" s="99"/>
      <c r="D72" s="99"/>
      <c r="E72" s="99"/>
      <c r="F72" s="99"/>
      <c r="G72" s="100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TIBURZI</v>
      </c>
      <c r="G185" s="37" t="str">
        <f>[1]REPERIBILITA!F113</f>
        <v>TIBURZI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LEPRI</v>
      </c>
      <c r="G202" s="37" t="str">
        <f>[1]REPERIBILITA!F130</f>
        <v>LEPRI</v>
      </c>
    </row>
    <row r="203" spans="2:7" x14ac:dyDescent="0.25">
      <c r="B203" s="16">
        <v>2</v>
      </c>
      <c r="C203" s="37" t="s">
        <v>51</v>
      </c>
      <c r="D203" s="37" t="str">
        <f>[1]REPERIBILITA!C131</f>
        <v>LEPRI</v>
      </c>
      <c r="E203" s="37" t="str">
        <f>[1]REPERIBILITA!D131</f>
        <v>LEPRI</v>
      </c>
      <c r="F203" s="37" t="str">
        <f>[1]REPERIBILITA!E131</f>
        <v>TINI</v>
      </c>
      <c r="G203" s="37" t="str">
        <f>[1]REPERIBILITA!F131</f>
        <v>TINI</v>
      </c>
    </row>
    <row r="204" spans="2:7" x14ac:dyDescent="0.25">
      <c r="B204" s="16">
        <v>3</v>
      </c>
      <c r="C204" s="37" t="s">
        <v>52</v>
      </c>
      <c r="D204" s="37" t="str">
        <f>[1]REPERIBILITA!C132</f>
        <v>TINI</v>
      </c>
      <c r="E204" s="37" t="str">
        <f>[1]REPERIBILITA!D132</f>
        <v>TINI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CASADEI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MORGANTI</v>
      </c>
      <c r="G213" s="37" t="str">
        <f>[1]REPERIBILITA!F141</f>
        <v>MORGANTI</v>
      </c>
    </row>
    <row r="214" spans="2:7" x14ac:dyDescent="0.25">
      <c r="B214" s="16">
        <v>13</v>
      </c>
      <c r="C214" s="37" t="s">
        <v>55</v>
      </c>
      <c r="D214" s="37" t="str">
        <f>[1]REPERIBILITA!C142</f>
        <v>MORGANTI</v>
      </c>
      <c r="E214" s="37" t="str">
        <f>[1]REPERIBILITA!D142</f>
        <v>MORGANTI</v>
      </c>
      <c r="F214" s="37" t="str">
        <f>[1]REPERIBILITA!E142</f>
        <v>ANGELINI</v>
      </c>
      <c r="G214" s="37" t="str">
        <f>[1]REPERIBILITA!F142</f>
        <v>ANGELINI</v>
      </c>
    </row>
    <row r="215" spans="2:7" x14ac:dyDescent="0.25">
      <c r="B215" s="16">
        <v>14</v>
      </c>
      <c r="C215" s="37" t="s">
        <v>49</v>
      </c>
      <c r="D215" s="37" t="str">
        <f>[1]REPERIBILITA!C143</f>
        <v>ANGELINI</v>
      </c>
      <c r="E215" s="37" t="str">
        <f>[1]REPERIBILITA!D143</f>
        <v>ANGELINI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MOSCA</v>
      </c>
      <c r="G219" s="37" t="str">
        <f>[1]REPERIBILITA!F147</f>
        <v>MOSCA</v>
      </c>
    </row>
    <row r="220" spans="2:7" x14ac:dyDescent="0.25">
      <c r="B220" s="16">
        <v>19</v>
      </c>
      <c r="C220" s="37" t="s">
        <v>54</v>
      </c>
      <c r="D220" s="37" t="str">
        <f>[1]REPERIBILITA!C148</f>
        <v>MOSCA</v>
      </c>
      <c r="E220" s="37" t="str">
        <f>[1]REPERIBILITA!D148</f>
        <v>MOSCA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2026-04-25T20:00:30Z</dcterms:modified>
</cp:coreProperties>
</file>